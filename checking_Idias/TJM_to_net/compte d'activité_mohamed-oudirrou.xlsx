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25748\Downloads\"/>
    </mc:Choice>
  </mc:AlternateContent>
  <xr:revisionPtr revIDLastSave="0" documentId="13_ncr:1_{025FA567-4427-4A63-A553-D720F109FC1C}" xr6:coauthVersionLast="47" xr6:coauthVersionMax="47" xr10:uidLastSave="{00000000-0000-0000-0000-000000000000}"/>
  <bookViews>
    <workbookView xWindow="-110" yWindow="-110" windowWidth="19420" windowHeight="10300" xr2:uid="{DD98343F-4345-49C2-9FAA-544D987B3405}"/>
  </bookViews>
  <sheets>
    <sheet name="Feuil1" sheetId="1" r:id="rId1"/>
    <sheet name="Bilan-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J20" i="2"/>
  <c r="H9" i="1"/>
  <c r="C14" i="2"/>
  <c r="E8" i="1" l="1"/>
  <c r="E6" i="1"/>
  <c r="E7" i="1"/>
  <c r="E9" i="1"/>
  <c r="E13" i="1" l="1"/>
  <c r="E15" i="1" s="1"/>
</calcChain>
</file>

<file path=xl/sharedStrings.xml><?xml version="1.0" encoding="utf-8"?>
<sst xmlns="http://schemas.openxmlformats.org/spreadsheetml/2006/main" count="43" uniqueCount="43">
  <si>
    <t xml:space="preserve">CA mois </t>
  </si>
  <si>
    <t xml:space="preserve">Commission de gestion 5% </t>
  </si>
  <si>
    <t xml:space="preserve">RC Pro - 0.1% </t>
  </si>
  <si>
    <t>Medecine Travail - 0.1%</t>
  </si>
  <si>
    <t>Salaire Brut</t>
  </si>
  <si>
    <t>Charges Partonales</t>
  </si>
  <si>
    <t>NDF Remboursée</t>
  </si>
  <si>
    <t>Compte Activité</t>
  </si>
  <si>
    <t>old Compte Activité</t>
  </si>
  <si>
    <t>Compte Activité final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</si>
  <si>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</si>
  <si>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</si>
  <si>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</si>
  <si>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</si>
  <si>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</si>
  <si>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</si>
  <si>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</si>
  <si>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</si>
  <si>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</si>
  <si>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</si>
  <si>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</si>
  <si>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</si>
  <si>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Net</t>
  </si>
  <si>
    <t>Factoring &amp; Garantie - 1.8%</t>
  </si>
  <si>
    <t>CVAE -0%</t>
  </si>
  <si>
    <t>Désignation</t>
  </si>
  <si>
    <t>Jours</t>
  </si>
  <si>
    <t>jrs vendus</t>
  </si>
  <si>
    <t>02/24 WERIN GROUP OUDIROU</t>
  </si>
  <si>
    <t>03/24 WERIN GROUP OUDIROU</t>
  </si>
  <si>
    <t>04/24 WERIN GROUP OUDIROU</t>
  </si>
  <si>
    <t>05/24 WERIN GROUP OUDIROU</t>
  </si>
  <si>
    <t>06/24 WERIN GROUP OUDIROU</t>
  </si>
  <si>
    <t>07/24 WERIN GROUP OUDIROU</t>
  </si>
  <si>
    <t>08/24 WERIN GROUP</t>
  </si>
  <si>
    <t>09/24 WERIN GROUP</t>
  </si>
  <si>
    <t>10/24 WERIN GROUP</t>
  </si>
  <si>
    <t>11/24 WERIN GROUP</t>
  </si>
  <si>
    <t>12/24 WERIN GROUP</t>
  </si>
  <si>
    <t>01/25 WERIN GROUP</t>
  </si>
  <si>
    <t>02/25 WERIN GROUP</t>
  </si>
  <si>
    <t>03/25 WERIN GROUP</t>
  </si>
  <si>
    <t>04/25 WERIN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</si>
</sst>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ACD380"/>
        <bgColor indexed="64"/>
      </patternFill>
    </fill>
    <fill>
      <patternFill patternType="solid">
        <fgColor rgb="FFF4E884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6AC07C"/>
        <bgColor indexed="64"/>
      </patternFill>
    </fill>
    <fill>
      <patternFill patternType="solid">
        <fgColor rgb="FFDBE182"/>
        <bgColor indexed="64"/>
      </patternFill>
    </fill>
    <fill>
      <patternFill patternType="solid">
        <fgColor rgb="FFFEE182"/>
        <bgColor indexed="64"/>
      </patternFill>
    </fill>
    <fill>
      <patternFill patternType="solid">
        <fgColor rgb="FFFBB279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6E6C"/>
        <bgColor indexed="64"/>
      </patternFill>
    </fill>
    <fill>
      <patternFill patternType="solid">
        <fgColor rgb="FFFCB579"/>
        <bgColor indexed="64"/>
      </patternFill>
    </fill>
    <fill>
      <patternFill patternType="solid">
        <fgColor rgb="FFFDC87D"/>
        <bgColor indexed="64"/>
      </patternFill>
    </fill>
    <fill>
      <patternFill patternType="solid">
        <fgColor rgb="FFFEE783"/>
        <bgColor indexed="64"/>
      </patternFill>
    </fill>
    <fill>
      <patternFill patternType="solid">
        <fgColor rgb="FFD4DF82"/>
        <bgColor indexed="64"/>
      </patternFill>
    </fill>
    <fill>
      <patternFill patternType="solid">
        <fgColor rgb="FFA3D17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/>
    <xf numFmtId="2" fontId="0" fillId="0" borderId="3" xfId="0" applyNumberFormat="1" applyBorder="1"/>
    <xf numFmtId="0" fontId="0" fillId="0" borderId="3" xfId="0" applyBorder="1"/>
    <xf numFmtId="2" fontId="0" fillId="3" borderId="4" xfId="0" applyNumberFormat="1" applyFill="1" applyBorder="1"/>
    <xf numFmtId="0" fontId="0" fillId="4" borderId="2" xfId="0" applyFill="1" applyBorder="1"/>
    <xf numFmtId="2" fontId="0" fillId="0" borderId="0" xfId="0" applyNumberFormat="1"/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right" vertical="center"/>
    </xf>
    <xf numFmtId="0" fontId="2" fillId="8" borderId="0" xfId="0" applyFont="1" applyFill="1" applyAlignment="1">
      <alignment horizontal="right" vertical="center"/>
    </xf>
    <xf numFmtId="0" fontId="2" fillId="9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1" borderId="0" xfId="0" applyFont="1" applyFill="1" applyAlignment="1">
      <alignment horizontal="right" vertical="center"/>
    </xf>
    <xf numFmtId="0" fontId="2" fillId="12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right" vertical="center"/>
    </xf>
    <xf numFmtId="0" fontId="2" fillId="14" borderId="0" xfId="0" applyFont="1" applyFill="1" applyAlignment="1">
      <alignment horizontal="right" vertical="center"/>
    </xf>
    <xf numFmtId="0" fontId="2" fillId="15" borderId="0" xfId="0" applyFont="1" applyFill="1" applyAlignment="1">
      <alignment horizontal="right" vertical="center"/>
    </xf>
    <xf numFmtId="0" fontId="2" fillId="17" borderId="0" xfId="0" applyFont="1" applyFill="1" applyAlignment="1">
      <alignment horizontal="right" vertical="center"/>
    </xf>
    <xf numFmtId="0" fontId="2" fillId="18" borderId="0" xfId="0" applyFont="1" applyFill="1" applyAlignment="1">
      <alignment horizontal="right" vertical="center"/>
    </xf>
    <xf numFmtId="0" fontId="2" fillId="19" borderId="0" xfId="0" applyFont="1" applyFill="1" applyAlignment="1">
      <alignment horizontal="right" vertical="center"/>
    </xf>
    <xf numFmtId="0" fontId="2" fillId="20" borderId="0" xfId="0" applyFont="1" applyFill="1" applyAlignment="1">
      <alignment horizontal="right" vertical="center"/>
    </xf>
    <xf numFmtId="0" fontId="2" fillId="21" borderId="0" xfId="0" applyFont="1" applyFill="1" applyAlignment="1">
      <alignment horizontal="right" vertical="center"/>
    </xf>
    <xf numFmtId="0" fontId="2" fillId="22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2" fillId="6" borderId="9" xfId="0" applyFont="1" applyFill="1" applyBorder="1" applyAlignment="1">
      <alignment vertical="center"/>
    </xf>
    <xf numFmtId="0" fontId="2" fillId="16" borderId="10" xfId="0" applyFont="1" applyFill="1" applyBorder="1" applyAlignment="1">
      <alignment horizontal="right" vertical="center"/>
    </xf>
    <xf numFmtId="0" fontId="2" fillId="16" borderId="1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B4DD-3EB4-48BE-84C9-17B504276A52}">
  <dimension ref="D4:H16"/>
  <sheetViews>
    <sheetView tabSelected="1" workbookViewId="0">
      <selection activeCell="G11" sqref="G11"/>
    </sheetView>
  </sheetViews>
  <sheetFormatPr baseColWidth="10" defaultRowHeight="14.5" x14ac:dyDescent="0.35"/>
  <cols>
    <col min="4" max="4" width="44.54296875" bestFit="1" customWidth="1"/>
  </cols>
  <sheetData>
    <row r="4" spans="4:8" x14ac:dyDescent="0.35">
      <c r="D4" s="1" t="s">
        <v>0</v>
      </c>
      <c r="E4" s="5">
        <f>550*12</f>
        <v>6600</v>
      </c>
      <c r="H4">
        <v>11000</v>
      </c>
    </row>
    <row r="5" spans="4:8" x14ac:dyDescent="0.35">
      <c r="D5" s="1" t="s">
        <v>1</v>
      </c>
      <c r="E5" s="2">
        <f>E4*5%</f>
        <v>330</v>
      </c>
      <c r="H5">
        <v>12100</v>
      </c>
    </row>
    <row r="6" spans="4:8" x14ac:dyDescent="0.35">
      <c r="D6" s="1" t="s">
        <v>2</v>
      </c>
      <c r="E6" s="3">
        <f>E4*0.1%</f>
        <v>6.6000000000000005</v>
      </c>
      <c r="H6">
        <v>11550</v>
      </c>
    </row>
    <row r="7" spans="4:8" x14ac:dyDescent="0.35">
      <c r="D7" s="1" t="s">
        <v>3</v>
      </c>
      <c r="E7" s="3">
        <f>E4*0.1%</f>
        <v>6.6000000000000005</v>
      </c>
      <c r="H7">
        <v>11000</v>
      </c>
    </row>
    <row r="8" spans="4:8" x14ac:dyDescent="0.35">
      <c r="D8" s="1" t="s">
        <v>23</v>
      </c>
      <c r="E8" s="3">
        <f>E4*1.8%</f>
        <v>118.80000000000001</v>
      </c>
      <c r="H8">
        <v>12100</v>
      </c>
    </row>
    <row r="9" spans="4:8" x14ac:dyDescent="0.35">
      <c r="D9" s="1" t="s">
        <v>24</v>
      </c>
      <c r="E9" s="3">
        <f>E4*0%</f>
        <v>0</v>
      </c>
      <c r="H9">
        <f>SUM(H4:H8)</f>
        <v>57750</v>
      </c>
    </row>
    <row r="10" spans="4:8" x14ac:dyDescent="0.35">
      <c r="D10" s="1" t="s">
        <v>4</v>
      </c>
      <c r="E10" s="3">
        <v>3750</v>
      </c>
    </row>
    <row r="11" spans="4:8" x14ac:dyDescent="0.35">
      <c r="D11" s="1" t="s">
        <v>5</v>
      </c>
      <c r="E11" s="3">
        <v>1700</v>
      </c>
    </row>
    <row r="12" spans="4:8" x14ac:dyDescent="0.35">
      <c r="D12" s="1" t="s">
        <v>6</v>
      </c>
      <c r="E12" s="3">
        <v>450</v>
      </c>
    </row>
    <row r="13" spans="4:8" x14ac:dyDescent="0.35">
      <c r="D13" s="1" t="s">
        <v>7</v>
      </c>
      <c r="E13" s="2">
        <f>E4-(SUM(E5:E12))</f>
        <v>238</v>
      </c>
    </row>
    <row r="14" spans="4:8" x14ac:dyDescent="0.35">
      <c r="D14" s="1" t="s">
        <v>8</v>
      </c>
      <c r="E14" s="3">
        <v>11100</v>
      </c>
    </row>
    <row r="15" spans="4:8" x14ac:dyDescent="0.35">
      <c r="D15" s="1" t="s">
        <v>9</v>
      </c>
      <c r="E15" s="4">
        <f>E13+E14</f>
        <v>11338</v>
      </c>
    </row>
    <row r="16" spans="4:8" x14ac:dyDescent="0.35">
      <c r="G16" s="6"/>
      <c r="H16" s="6"/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8BBF-49A4-46FB-A2F0-DD0C7A5788EA}">
  <dimension ref="B1:L20"/>
  <sheetViews>
    <sheetView workbookViewId="0">
      <selection activeCell="F15" sqref="F15"/>
    </sheetView>
  </sheetViews>
  <sheetFormatPr baseColWidth="10" defaultRowHeight="14.5" x14ac:dyDescent="0.35"/>
  <cols>
    <col min="9" max="9" width="26.453125" customWidth="1"/>
  </cols>
  <sheetData>
    <row r="1" spans="2:12" x14ac:dyDescent="0.35">
      <c r="C1" t="s">
        <v>22</v>
      </c>
    </row>
    <row r="2" spans="2:12" x14ac:dyDescent="0.35">
      <c r="B2" t="s">
        <v>10</v>
      </c>
      <c r="C2">
        <v>3445</v>
      </c>
    </row>
    <row r="3" spans="2:12" ht="15" thickBot="1" x14ac:dyDescent="0.4">
      <c r="B3" t="s">
        <v>11</v>
      </c>
      <c r="C3">
        <v>3149.84</v>
      </c>
    </row>
    <row r="4" spans="2:12" ht="15" thickBot="1" x14ac:dyDescent="0.4">
      <c r="B4" t="s">
        <v>12</v>
      </c>
      <c r="C4">
        <v>1373.22</v>
      </c>
      <c r="I4" s="7" t="s">
        <v>25</v>
      </c>
      <c r="J4" s="8" t="s">
        <v>26</v>
      </c>
      <c r="K4" s="9" t="s">
        <v>27</v>
      </c>
      <c r="L4" s="9"/>
    </row>
    <row r="5" spans="2:12" ht="15" thickBot="1" x14ac:dyDescent="0.4">
      <c r="B5" t="s">
        <v>13</v>
      </c>
      <c r="C5">
        <v>3460.87</v>
      </c>
      <c r="I5" s="10" t="s">
        <v>28</v>
      </c>
      <c r="J5" s="11">
        <v>14</v>
      </c>
      <c r="K5" s="12">
        <v>17.399999999999999</v>
      </c>
      <c r="L5" s="13">
        <v>3.4</v>
      </c>
    </row>
    <row r="6" spans="2:12" ht="15" thickBot="1" x14ac:dyDescent="0.4">
      <c r="B6" t="s">
        <v>14</v>
      </c>
      <c r="C6">
        <v>3518.75</v>
      </c>
      <c r="I6" s="10" t="s">
        <v>29</v>
      </c>
      <c r="J6" s="11">
        <v>21</v>
      </c>
      <c r="K6" s="12">
        <v>17.399999999999999</v>
      </c>
      <c r="L6" s="14">
        <v>-0.2</v>
      </c>
    </row>
    <row r="7" spans="2:12" ht="15" thickBot="1" x14ac:dyDescent="0.4">
      <c r="B7" t="s">
        <v>15</v>
      </c>
      <c r="C7">
        <v>3889</v>
      </c>
      <c r="I7" s="10" t="s">
        <v>30</v>
      </c>
      <c r="J7" s="11">
        <v>21</v>
      </c>
      <c r="K7" s="12">
        <v>17.399999999999999</v>
      </c>
      <c r="L7" s="15">
        <v>-3.8</v>
      </c>
    </row>
    <row r="8" spans="2:12" ht="15" thickBot="1" x14ac:dyDescent="0.4">
      <c r="B8" t="s">
        <v>16</v>
      </c>
      <c r="C8">
        <v>3218</v>
      </c>
      <c r="I8" s="10" t="s">
        <v>31</v>
      </c>
      <c r="J8" s="11">
        <v>18</v>
      </c>
      <c r="K8" s="12">
        <v>17.399999999999999</v>
      </c>
      <c r="L8" s="16">
        <v>-4.3</v>
      </c>
    </row>
    <row r="9" spans="2:12" ht="15" thickBot="1" x14ac:dyDescent="0.4">
      <c r="B9" t="s">
        <v>17</v>
      </c>
      <c r="C9">
        <v>3254</v>
      </c>
      <c r="I9" s="10" t="s">
        <v>32</v>
      </c>
      <c r="J9" s="11">
        <v>10</v>
      </c>
      <c r="K9" s="12">
        <v>17.399999999999999</v>
      </c>
      <c r="L9" s="17">
        <v>3.1</v>
      </c>
    </row>
    <row r="10" spans="2:12" ht="15" thickBot="1" x14ac:dyDescent="0.4">
      <c r="B10" t="s">
        <v>18</v>
      </c>
      <c r="C10">
        <v>3858</v>
      </c>
      <c r="I10" s="10" t="s">
        <v>33</v>
      </c>
      <c r="J10" s="11">
        <v>23</v>
      </c>
      <c r="K10" s="12">
        <v>17.399999999999999</v>
      </c>
      <c r="L10" s="18">
        <v>-2.5</v>
      </c>
    </row>
    <row r="11" spans="2:12" ht="15" thickBot="1" x14ac:dyDescent="0.4">
      <c r="B11" t="s">
        <v>19</v>
      </c>
      <c r="C11">
        <v>3903</v>
      </c>
      <c r="I11" s="10" t="s">
        <v>34</v>
      </c>
      <c r="J11" s="11">
        <v>20</v>
      </c>
      <c r="K11" s="12">
        <v>17.399999999999999</v>
      </c>
      <c r="L11" s="19">
        <v>-5.0999999999999996</v>
      </c>
    </row>
    <row r="12" spans="2:12" ht="15" thickBot="1" x14ac:dyDescent="0.4">
      <c r="B12" t="s">
        <v>20</v>
      </c>
      <c r="C12">
        <v>6335</v>
      </c>
      <c r="I12" s="10" t="s">
        <v>35</v>
      </c>
      <c r="J12" s="11">
        <v>21</v>
      </c>
      <c r="K12" s="12">
        <v>17.399999999999999</v>
      </c>
      <c r="L12" s="20">
        <v>-8.6999999999999993</v>
      </c>
    </row>
    <row r="13" spans="2:12" ht="15" thickBot="1" x14ac:dyDescent="0.4">
      <c r="B13" t="s">
        <v>21</v>
      </c>
      <c r="C13">
        <v>3200</v>
      </c>
      <c r="I13" s="10" t="s">
        <v>36</v>
      </c>
      <c r="J13" s="11">
        <v>23</v>
      </c>
      <c r="K13" s="12">
        <v>17.399999999999999</v>
      </c>
      <c r="L13" s="21">
        <v>-14.3</v>
      </c>
    </row>
    <row r="14" spans="2:12" ht="15" thickBot="1" x14ac:dyDescent="0.4">
      <c r="C14">
        <f>SUM(C2:C13)</f>
        <v>42604.68</v>
      </c>
      <c r="I14" s="29" t="s">
        <v>37</v>
      </c>
      <c r="J14" s="30">
        <v>19</v>
      </c>
      <c r="K14" s="12">
        <v>17.399999999999999</v>
      </c>
      <c r="L14" s="22">
        <v>-13.8</v>
      </c>
    </row>
    <row r="15" spans="2:12" ht="15" thickBot="1" x14ac:dyDescent="0.4">
      <c r="I15" s="29" t="s">
        <v>38</v>
      </c>
      <c r="J15" s="31">
        <v>15</v>
      </c>
      <c r="K15" s="12">
        <v>17.399999999999999</v>
      </c>
      <c r="L15" s="23">
        <v>-8.4</v>
      </c>
    </row>
    <row r="16" spans="2:12" ht="15" thickBot="1" x14ac:dyDescent="0.4">
      <c r="I16" s="29" t="s">
        <v>39</v>
      </c>
      <c r="J16" s="31">
        <v>20</v>
      </c>
      <c r="K16" s="12">
        <v>17.399999999999999</v>
      </c>
      <c r="L16" s="24">
        <v>-7</v>
      </c>
    </row>
    <row r="17" spans="9:12" ht="15" thickBot="1" x14ac:dyDescent="0.4">
      <c r="I17" s="29" t="s">
        <v>40</v>
      </c>
      <c r="J17" s="31">
        <v>20</v>
      </c>
      <c r="K17" s="12">
        <v>17.399999999999999</v>
      </c>
      <c r="L17" s="25">
        <v>-4.5999999999999996</v>
      </c>
    </row>
    <row r="18" spans="9:12" ht="15" thickBot="1" x14ac:dyDescent="0.4">
      <c r="I18" s="29" t="s">
        <v>41</v>
      </c>
      <c r="J18" s="31">
        <v>15</v>
      </c>
      <c r="K18" s="12">
        <v>17.399999999999999</v>
      </c>
      <c r="L18" s="26">
        <v>-2.2000000000000002</v>
      </c>
    </row>
    <row r="19" spans="9:12" ht="15" thickBot="1" x14ac:dyDescent="0.4">
      <c r="I19" s="29" t="s">
        <v>42</v>
      </c>
      <c r="J19" s="31">
        <v>0</v>
      </c>
      <c r="K19" s="12">
        <v>17.399999999999999</v>
      </c>
      <c r="L19" s="27">
        <v>0.2</v>
      </c>
    </row>
    <row r="20" spans="9:12" x14ac:dyDescent="0.35">
      <c r="I20" s="28"/>
      <c r="J20">
        <f>SUM(J14:J19)</f>
        <v>89</v>
      </c>
    </row>
  </sheetData>
  <phoneticPr fontId="1" type="noConversion"/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Bilan-2024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Oudirrou Mohamed</dc:creator>
  <cp:lastModifiedBy>OUDIRROU Mohamed (renexter)</cp:lastModifiedBy>
  <dcterms:created xsi:type="dcterms:W3CDTF">2023-10-11T08:03:21Z</dcterms:created>
  <dcterms:modified xsi:type="dcterms:W3CDTF">2024-12-13T16:38:13Z</dcterms:modified>
</cp:coreProperties>
</file>